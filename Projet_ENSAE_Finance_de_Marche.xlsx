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Ex1" sheetId="2" state="visible" r:id="rId2"/>
    <sheet name="Ex2" sheetId="3" state="visible" r:id="rId3"/>
    <sheet name="Ex3" sheetId="4" state="visible" r:id="rId4"/>
    <sheet name="Ex4" sheetId="5" state="visible" r:id="rId5"/>
    <sheet name="Ex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0.000000"/>
    <numFmt numFmtId="166" formatCode="0.0000"/>
    <numFmt numFmtId="167" formatCode="0.000"/>
    <numFmt numFmtId="168" formatCode="0.0%"/>
  </numFmts>
  <fonts count="4">
    <font>
      <name val="Calibri"/>
      <family val="2"/>
      <color theme="1"/>
      <sz val="11"/>
      <scheme val="minor"/>
    </font>
    <font>
      <b val="1"/>
      <color rgb="001A1A1A"/>
      <sz val="14"/>
    </font>
    <font>
      <b val="1"/>
      <color rgb="001A1A1A"/>
      <sz val="11"/>
    </font>
    <font>
      <b val="1"/>
      <color rgb="0038761D"/>
      <sz val="1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CCFF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10" fontId="0" fillId="3" borderId="1" pivotButton="0" quotePrefix="0" xfId="0"/>
    <xf numFmtId="0" fontId="3" fillId="0" borderId="1" pivotButton="0" quotePrefix="0" xfId="0"/>
    <xf numFmtId="10" fontId="3" fillId="0" borderId="1" pivotButton="0" quotePrefix="0" xfId="0"/>
    <xf numFmtId="0" fontId="2" fillId="2" borderId="1" applyAlignment="1" pivotButton="0" quotePrefix="0" xfId="0">
      <alignment horizontal="center" vertical="center"/>
    </xf>
    <xf numFmtId="2" fontId="0" fillId="3" borderId="1" pivotButton="0" quotePrefix="0" xfId="0"/>
    <xf numFmtId="1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3" fontId="0" fillId="3" borderId="1" pivotButton="0" quotePrefix="0" xfId="0"/>
    <xf numFmtId="167" fontId="0" fillId="3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2" fillId="0" borderId="1" pivotButton="0" quotePrefix="0" xfId="0"/>
    <xf numFmtId="9" fontId="0" fillId="3" borderId="1" pivotButton="0" quotePrefix="0" xfId="0"/>
    <xf numFmtId="9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168" fontId="3" fillId="0" borderId="1" pivotButton="0" quotePrefix="0" xfId="0"/>
    <xf numFmtId="3" fontId="3" fillId="0" borderId="1" pivotButton="0" quotePrefix="0" xfId="0"/>
    <xf numFmtId="9" fontId="3" fillId="0" borderId="1" pivotButton="0" quotePrefix="0" xfId="0"/>
    <xf numFmtId="168" fontId="0" fillId="3" borderId="1" pivotButton="0" quotePrefix="0" xfId="0"/>
    <xf numFmtId="4" fontId="3" fillId="0" borderId="1" pivotButton="0" quotePrefix="0" xfId="0"/>
    <xf numFmtId="4" fontId="0" fillId="3" borderId="1" pivotButton="0" quotePrefix="0" xfId="0"/>
    <xf numFmtId="165" fontId="3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Droite de marché des capitaux : E(rp) en fonction de σp</a:t>
            </a:r>
          </a:p>
        </rich>
      </tx>
    </title>
    <plotArea>
      <scatterChart>
        <ser>
          <idx val="0"/>
          <order val="0"/>
          <tx>
            <v>Portefeuilles F→S</v>
          </tx>
          <spPr>
            <a:ln w="25000">
              <a:solidFill>
                <a:srgbClr val="38761D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xVal>
            <numRef>
              <f>'Ex2'!$F$11:$F$15</f>
            </numRef>
          </xVal>
          <yVal>
            <numRef>
              <f>'Ex2'!$E$11:$E$15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Risque σp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Rentabilité espérée E(rp)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Frontière rentabilité-risque (2 actifs risqués, ρ = 0)</a:t>
            </a:r>
          </a:p>
        </rich>
      </tx>
    </title>
    <plotArea>
      <scatterChart>
        <ser>
          <idx val="0"/>
          <order val="0"/>
          <tx>
            <v>Frontière</v>
          </tx>
          <spPr>
            <a:ln w="25000">
              <a:solidFill>
                <a:srgbClr val="38761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'Ex3'!$C$23:$C$43</f>
            </numRef>
          </xVal>
          <yVal>
            <numRef>
              <f>'Ex3'!$B$23:$B$43</f>
            </numRef>
          </yVal>
          <smooth val="1"/>
        </ser>
        <ser>
          <idx val="1"/>
          <order val="1"/>
          <tx>
            <v>Portefeuilles R, C, MinVar, D, S</v>
          </tx>
          <spPr>
            <a:ln w="25000">
              <a:noFill/>
              <a:solidFill>
                <a:srgbClr val="B8860B"/>
              </a:solidFill>
              <a:prstDash val="solid"/>
            </a:ln>
          </spPr>
          <marker>
            <symbol val="diamond"/>
            <size val="8"/>
            <spPr>
              <a:ln>
                <a:prstDash val="solid"/>
              </a:ln>
            </spPr>
          </marker>
          <xVal>
            <numRef>
              <f>'Ex3'!$E$10:$E$14</f>
            </numRef>
          </xVal>
          <yVal>
            <numRef>
              <f>'Ex3'!$D$10:$D$14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Risque σp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Rentabilité espérée E(rp)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61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PROJET ENSAE — EXAMEN DE FINANCE DE MARCHÉ</t>
        </is>
      </c>
    </row>
    <row r="2">
      <c r="A2" s="2" t="inlineStr"/>
    </row>
    <row r="3">
      <c r="A3" s="2" t="inlineStr">
        <is>
          <t>Étudiant : Sié Rachid Traoré (projet individuel) — Professeur : M. Ousmane Diallo.</t>
        </is>
      </c>
    </row>
    <row r="4">
      <c r="A4" s="2" t="inlineStr"/>
    </row>
    <row r="5">
      <c r="A5" s="2" t="inlineStr">
        <is>
          <t>Résolution complète des 5 exercices — chaque exercice est traité dans une feuille dédiée.</t>
        </is>
      </c>
    </row>
    <row r="6">
      <c r="A6" s="2" t="inlineStr">
        <is>
          <t>Les cellules vertes contiennent les données d'entrée ; les résultats calculés sont en gras vert foncé.</t>
        </is>
      </c>
    </row>
    <row r="7">
      <c r="A7" s="2" t="inlineStr">
        <is>
          <t>Toutes les valeurs sont calculées par des formules Excel « vivantes » (modifiables).</t>
        </is>
      </c>
    </row>
    <row r="8">
      <c r="A8" s="2" t="inlineStr"/>
    </row>
    <row r="9">
      <c r="A9" s="2" t="inlineStr">
        <is>
          <t>Feuille Ex1 — PER, Gordon-Shapiro, ratio de Sharpe, MEDAF, bêta (données de cours et d'indice).</t>
        </is>
      </c>
    </row>
    <row r="10">
      <c r="A10" s="2" t="inlineStr">
        <is>
          <t>Feuille Ex2 — Allocation entre actif sans risque (6 %) et actif risqué (14 % ; σ = 20,3 %) : portefeuilles F, G, H, I, S et portefeuille J.</t>
        </is>
      </c>
    </row>
    <row r="11">
      <c r="A11" s="2" t="inlineStr">
        <is>
          <t>Feuille Ex3 — Portefeuille de deux actifs risqués non corrélés : R, C, Risque minimum, D, S et frontière rentabilité-risque.</t>
        </is>
      </c>
    </row>
    <row r="12">
      <c r="A12" s="2" t="inlineStr">
        <is>
          <t>Feuille Ex4 — Obligation 1 000 €, 15 ans, coupon 10 % : prix, taux de rendement actuariel, sensibilité et duration.</t>
        </is>
      </c>
    </row>
    <row r="13">
      <c r="A13" s="2" t="inlineStr">
        <is>
          <t>Feuille Ex5 — Modèle binomial de Cox-Ross-Rubinstein à 3 périodes : u, d, p, arbre du sous-jacent et call européen.</t>
        </is>
      </c>
    </row>
    <row r="14">
      <c r="A14" s="2" t="inlineStr"/>
    </row>
    <row r="15">
      <c r="A15" s="2" t="inlineStr">
        <is>
          <t>Palette de couleurs autorisée (celle du Rmd) : jaune pâle #FFFFCC, vert pâle #CCFFCC et leurs déclinaisons foncées.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</cols>
  <sheetData>
    <row r="1">
      <c r="A1" s="1" t="inlineStr">
        <is>
          <t>EXERCICE 1 — PER, Gordon-Shapiro, Sharpe, MEDAF et bêta</t>
        </is>
      </c>
      <c r="B1" s="3" t="n"/>
      <c r="C1" s="3" t="n"/>
      <c r="D1" s="3" t="n"/>
      <c r="E1" s="3" t="n"/>
      <c r="F1" s="3" t="n"/>
      <c r="G1" s="3" t="n"/>
      <c r="H1" s="3" t="n"/>
    </row>
    <row r="3" ht="52" customHeight="1">
      <c r="A3" s="4" t="inlineStr">
        <is>
          <t>1. Price Earnings Ratio (PER)</t>
        </is>
      </c>
      <c r="B3" s="5" t="inlineStr">
        <is>
          <t>PER = Cours de l'action / Bénéfice par action (BPA) = Capitalisation boursière / Bénéfice total. Il indique combien de fois le marché « paie » le bénéfice : un PER de 10 signifie que l'entreprise vaut 10 fois son bénéfice. Plus le PER est élevé, plus l'action est chère.</t>
        </is>
      </c>
      <c r="C3" s="6" t="n"/>
      <c r="D3" s="6" t="n"/>
      <c r="E3" s="6" t="n"/>
      <c r="F3" s="6" t="n"/>
      <c r="G3" s="6" t="n"/>
      <c r="H3" s="6" t="n"/>
    </row>
    <row r="4" ht="52" customHeight="1">
      <c r="A4" s="4" t="inlineStr">
        <is>
          <t>2. Modèle de Gordon-Shapiro</t>
        </is>
      </c>
      <c r="B4" s="5" t="inlineStr">
        <is>
          <t>P0 = D1 / (k − g), avec P0 le cours actuel, D1 le dividende attendu dans un an, k le taux de rentabilité exigé et g le taux de croissance perpétuel des dividendes (g &lt; k). Réciproquement : k = D1/P0 + g.</t>
        </is>
      </c>
      <c r="C4" s="6" t="n"/>
      <c r="D4" s="6" t="n"/>
      <c r="E4" s="6" t="n"/>
      <c r="F4" s="6" t="n"/>
      <c r="G4" s="6" t="n"/>
      <c r="H4" s="6" t="n"/>
    </row>
    <row r="5" ht="52" customHeight="1">
      <c r="A5" s="4" t="inlineStr">
        <is>
          <t>3. Ratio de Sharpe</t>
        </is>
      </c>
      <c r="B5" s="5" t="inlineStr">
        <is>
          <t>Sharpe = (E(Rp) − Rf) / σp : excès de rentabilité espérée par unité de risque total. Entre plusieurs actifs risqués mutuellement exclusifs, on choisit celui dont le ratio de Sharpe est le plus élevé.</t>
        </is>
      </c>
      <c r="C5" s="6" t="n"/>
      <c r="D5" s="6" t="n"/>
      <c r="E5" s="6" t="n"/>
      <c r="F5" s="6" t="n"/>
      <c r="G5" s="6" t="n"/>
      <c r="H5" s="6" t="n"/>
    </row>
    <row r="6" ht="52" customHeight="1">
      <c r="A6" s="4" t="inlineStr">
        <is>
          <t>4. MEDAF (CAPM)</t>
        </is>
      </c>
      <c r="B6" s="5" t="inlineStr">
        <is>
          <t>E(Ri) = Rf + βi × [E(RM) − Rf].  Rf : taux sans risque ; E(RM) : rentabilité espérée du portefeuille de marché ; E(RM) − Rf : prime de risque du marché ; βi : sensibilité du titre i aux variations du marché (risque systématique).</t>
        </is>
      </c>
      <c r="C6" s="6" t="n"/>
      <c r="D6" s="6" t="n"/>
      <c r="E6" s="6" t="n"/>
      <c r="F6" s="6" t="n"/>
      <c r="G6" s="6" t="n"/>
      <c r="H6" s="6" t="n"/>
    </row>
    <row r="7" ht="52" customHeight="1">
      <c r="A7" s="4" t="inlineStr">
        <is>
          <t>6. Bêta d'un titre i</t>
        </is>
      </c>
      <c r="B7" s="5" t="inlineStr">
        <is>
          <t>βi = Cov(Ri ; RM) / Var(RM). β &gt; 1 : titre plus volatil que le marché (amplifie ses variations) ; β &lt; 1 : titre défensif ; β = 1 : le titre varie comme le marché.</t>
        </is>
      </c>
      <c r="C7" s="6" t="n"/>
      <c r="D7" s="6" t="n"/>
      <c r="E7" s="6" t="n"/>
      <c r="F7" s="6" t="n"/>
      <c r="G7" s="6" t="n"/>
      <c r="H7" s="6" t="n"/>
    </row>
    <row r="9">
      <c r="A9" s="4" t="inlineStr">
        <is>
          <t>5. Société MIM — taux exigé (Gordon-Shapiro)</t>
        </is>
      </c>
    </row>
    <row r="10">
      <c r="A10" s="6" t="inlineStr">
        <is>
          <t>Dividende D1 (€)</t>
        </is>
      </c>
      <c r="B10" s="7" t="n">
        <v>2</v>
      </c>
    </row>
    <row r="11">
      <c r="A11" s="6" t="inlineStr">
        <is>
          <t>Croissance g</t>
        </is>
      </c>
      <c r="B11" s="8" t="n">
        <v>0.06</v>
      </c>
    </row>
    <row r="12">
      <c r="A12" s="6" t="inlineStr">
        <is>
          <t>Cours P0 (€)</t>
        </is>
      </c>
      <c r="B12" s="7" t="n">
        <v>20</v>
      </c>
    </row>
    <row r="13">
      <c r="A13" s="9" t="inlineStr">
        <is>
          <t>k = D1/P0 + g</t>
        </is>
      </c>
      <c r="B13" s="10">
        <f>B10/B12+B11</f>
        <v/>
      </c>
    </row>
    <row r="15">
      <c r="A15" s="4" t="inlineStr">
        <is>
          <t>7. Calcul du bêta de l'action</t>
        </is>
      </c>
    </row>
    <row r="16">
      <c r="A16" s="11" t="inlineStr">
        <is>
          <t>Période</t>
        </is>
      </c>
      <c r="B16" s="11" t="inlineStr">
        <is>
          <t>Cours</t>
        </is>
      </c>
      <c r="C16" s="11" t="inlineStr">
        <is>
          <t>Indice</t>
        </is>
      </c>
      <c r="D16" s="11" t="inlineStr">
        <is>
          <t>Rentabilité titre Ri</t>
        </is>
      </c>
      <c r="E16" s="11" t="inlineStr">
        <is>
          <t>Rentabilité marché RM</t>
        </is>
      </c>
    </row>
    <row r="17">
      <c r="A17" s="6" t="n">
        <v>1</v>
      </c>
      <c r="B17" s="12" t="n">
        <v>39.56</v>
      </c>
      <c r="C17" s="13" t="n">
        <v>5046</v>
      </c>
      <c r="D17" s="6" t="inlineStr">
        <is>
          <t>—</t>
        </is>
      </c>
      <c r="E17" s="6" t="inlineStr">
        <is>
          <t>—</t>
        </is>
      </c>
    </row>
    <row r="18">
      <c r="A18" s="6" t="n">
        <v>2</v>
      </c>
      <c r="B18" s="12" t="n">
        <v>39.97</v>
      </c>
      <c r="C18" s="13" t="n">
        <v>5035</v>
      </c>
      <c r="D18" s="14">
        <f>B18/B17-1</f>
        <v/>
      </c>
      <c r="E18" s="14">
        <f>C18/C17-1</f>
        <v/>
      </c>
    </row>
    <row r="19">
      <c r="A19" s="6" t="n">
        <v>3</v>
      </c>
      <c r="B19" s="12" t="n">
        <v>40.76</v>
      </c>
      <c r="C19" s="13" t="n">
        <v>5103</v>
      </c>
      <c r="D19" s="14">
        <f>B19/B18-1</f>
        <v/>
      </c>
      <c r="E19" s="14">
        <f>C19/C18-1</f>
        <v/>
      </c>
    </row>
    <row r="20">
      <c r="A20" s="6" t="n">
        <v>4</v>
      </c>
      <c r="B20" s="12" t="n">
        <v>38.54</v>
      </c>
      <c r="C20" s="13" t="n">
        <v>5011</v>
      </c>
      <c r="D20" s="14">
        <f>B20/B19-1</f>
        <v/>
      </c>
      <c r="E20" s="14">
        <f>C20/C19-1</f>
        <v/>
      </c>
    </row>
    <row r="21">
      <c r="A21" s="6" t="n">
        <v>5</v>
      </c>
      <c r="B21" s="12" t="n">
        <v>41.65</v>
      </c>
      <c r="C21" s="13" t="n">
        <v>5126</v>
      </c>
      <c r="D21" s="14">
        <f>B21/B20-1</f>
        <v/>
      </c>
      <c r="E21" s="14">
        <f>C21/C20-1</f>
        <v/>
      </c>
    </row>
    <row r="22">
      <c r="A22" s="6" t="n">
        <v>6</v>
      </c>
      <c r="B22" s="12" t="n">
        <v>42.78</v>
      </c>
      <c r="C22" s="13" t="n">
        <v>5246</v>
      </c>
      <c r="D22" s="14">
        <f>B22/B21-1</f>
        <v/>
      </c>
      <c r="E22" s="14">
        <f>C22/C21-1</f>
        <v/>
      </c>
    </row>
    <row r="23">
      <c r="A23" s="6" t="n">
        <v>7</v>
      </c>
      <c r="B23" s="12" t="n">
        <v>46.23</v>
      </c>
      <c r="C23" s="13" t="n">
        <v>5388</v>
      </c>
      <c r="D23" s="14">
        <f>B23/B22-1</f>
        <v/>
      </c>
      <c r="E23" s="14">
        <f>C23/C22-1</f>
        <v/>
      </c>
    </row>
    <row r="24">
      <c r="A24" s="6" t="n">
        <v>8</v>
      </c>
      <c r="B24" s="12" t="n">
        <v>45.82</v>
      </c>
      <c r="C24" s="13" t="n">
        <v>5346</v>
      </c>
      <c r="D24" s="14">
        <f>B24/B23-1</f>
        <v/>
      </c>
      <c r="E24" s="14">
        <f>C24/C23-1</f>
        <v/>
      </c>
    </row>
    <row r="25">
      <c r="A25" s="6" t="n">
        <v>9</v>
      </c>
      <c r="B25" s="12" t="n">
        <v>48.93</v>
      </c>
      <c r="C25" s="13" t="n">
        <v>5526</v>
      </c>
      <c r="D25" s="14">
        <f>B25/B24-1</f>
        <v/>
      </c>
      <c r="E25" s="14">
        <f>C25/C24-1</f>
        <v/>
      </c>
    </row>
    <row r="26">
      <c r="A26" s="6" t="n">
        <v>10</v>
      </c>
      <c r="B26" s="12" t="n">
        <v>50.45</v>
      </c>
      <c r="C26" s="13" t="n">
        <v>5521</v>
      </c>
      <c r="D26" s="14">
        <f>B26/B25-1</f>
        <v/>
      </c>
      <c r="E26" s="14">
        <f>C26/C25-1</f>
        <v/>
      </c>
    </row>
    <row r="27">
      <c r="A27" s="6" t="n">
        <v>11</v>
      </c>
      <c r="B27" s="12" t="n">
        <v>50.87</v>
      </c>
      <c r="C27" s="13" t="n">
        <v>5534</v>
      </c>
      <c r="D27" s="14">
        <f>B27/B26-1</f>
        <v/>
      </c>
      <c r="E27" s="14">
        <f>C27/C26-1</f>
        <v/>
      </c>
    </row>
    <row r="28">
      <c r="A28" s="6" t="n">
        <v>12</v>
      </c>
      <c r="B28" s="12" t="n">
        <v>53.76</v>
      </c>
      <c r="C28" s="13" t="n">
        <v>5490</v>
      </c>
      <c r="D28" s="14">
        <f>B28/B27-1</f>
        <v/>
      </c>
      <c r="E28" s="14">
        <f>C28/C27-1</f>
        <v/>
      </c>
    </row>
    <row r="29">
      <c r="A29" s="6" t="n">
        <v>13</v>
      </c>
      <c r="B29" s="12" t="n">
        <v>55.63</v>
      </c>
      <c r="C29" s="13" t="n">
        <v>5389</v>
      </c>
      <c r="D29" s="14">
        <f>B29/B28-1</f>
        <v/>
      </c>
      <c r="E29" s="14">
        <f>C29/C28-1</f>
        <v/>
      </c>
    </row>
    <row r="30">
      <c r="A30" s="6" t="n">
        <v>14</v>
      </c>
      <c r="B30" s="12" t="n">
        <v>56.39</v>
      </c>
      <c r="C30" s="13" t="n">
        <v>5425</v>
      </c>
      <c r="D30" s="14">
        <f>B30/B29-1</f>
        <v/>
      </c>
      <c r="E30" s="14">
        <f>C30/C29-1</f>
        <v/>
      </c>
    </row>
    <row r="31">
      <c r="A31" s="6" t="n">
        <v>15</v>
      </c>
      <c r="B31" s="12" t="n">
        <v>51.03</v>
      </c>
      <c r="C31" s="13" t="n">
        <v>5109</v>
      </c>
      <c r="D31" s="14">
        <f>B31/B30-1</f>
        <v/>
      </c>
      <c r="E31" s="14">
        <f>C31/C30-1</f>
        <v/>
      </c>
    </row>
    <row r="32">
      <c r="A32" s="6" t="n">
        <v>16</v>
      </c>
      <c r="B32" s="12" t="n">
        <v>53.76</v>
      </c>
      <c r="C32" s="13" t="n">
        <v>5288</v>
      </c>
      <c r="D32" s="14">
        <f>B32/B31-1</f>
        <v/>
      </c>
      <c r="E32" s="14">
        <f>C32/C31-1</f>
        <v/>
      </c>
    </row>
    <row r="34">
      <c r="A34" s="6" t="inlineStr">
        <is>
          <t>Rentabilité moyenne du titre</t>
        </is>
      </c>
      <c r="B34" s="14">
        <f>AVERAGE(D18:D32)</f>
        <v/>
      </c>
    </row>
    <row r="35">
      <c r="A35" s="6" t="inlineStr">
        <is>
          <t>Rentabilité moyenne du marché E(RM)</t>
        </is>
      </c>
      <c r="B35" s="14">
        <f>AVERAGE(E18:E32)</f>
        <v/>
      </c>
    </row>
    <row r="36">
      <c r="A36" s="6" t="inlineStr">
        <is>
          <t>Cov(Ri ; RM)</t>
        </is>
      </c>
      <c r="B36" s="15">
        <f>COVAR(D18:D32,E18:E32)</f>
        <v/>
      </c>
    </row>
    <row r="37">
      <c r="A37" s="6" t="inlineStr">
        <is>
          <t>Var(RM)</t>
        </is>
      </c>
      <c r="B37" s="15">
        <f>VARP(E18:E32)</f>
        <v/>
      </c>
    </row>
    <row r="38">
      <c r="A38" s="9" t="inlineStr">
        <is>
          <t>BÊTA  β = Cov/Var</t>
        </is>
      </c>
      <c r="B38" s="16">
        <f>B36/B37</f>
        <v/>
      </c>
    </row>
    <row r="40">
      <c r="A40" s="4" t="inlineStr">
        <is>
          <t>Rentabilité exigée avec Rf = 0,2 % (MEDAF, par période)</t>
        </is>
      </c>
    </row>
    <row r="41">
      <c r="A41" s="6" t="inlineStr">
        <is>
          <t>Taux sans risque Rf</t>
        </is>
      </c>
      <c r="B41" s="8" t="n">
        <v>0.002</v>
      </c>
    </row>
    <row r="42">
      <c r="A42" s="9" t="inlineStr">
        <is>
          <t>E(Ri) = Rf + β × (E(RM) − Rf)</t>
        </is>
      </c>
      <c r="B42" s="17">
        <f>B41+B38*(B35-B41)</f>
        <v/>
      </c>
    </row>
  </sheetData>
  <mergeCells count="6"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EXERCICE 2 — Actif sans risque + actif risqué (100 000 €)</t>
        </is>
      </c>
      <c r="B1" s="3" t="n"/>
      <c r="C1" s="3" t="n"/>
      <c r="D1" s="3" t="n"/>
      <c r="E1" s="3" t="n"/>
      <c r="F1" s="3" t="n"/>
    </row>
    <row r="3">
      <c r="A3" s="6" t="inlineStr">
        <is>
          <t>Capital (€)</t>
        </is>
      </c>
      <c r="B3" s="18" t="n">
        <v>100000</v>
      </c>
    </row>
    <row r="4">
      <c r="A4" s="6" t="inlineStr">
        <is>
          <t>Taux sans risque rf</t>
        </is>
      </c>
      <c r="B4" s="8" t="n">
        <v>0.06</v>
      </c>
    </row>
    <row r="5">
      <c r="A5" s="6" t="inlineStr">
        <is>
          <t>E(rA) actif risqué</t>
        </is>
      </c>
      <c r="B5" s="8" t="n">
        <v>0.14</v>
      </c>
    </row>
    <row r="6">
      <c r="A6" s="6" t="inlineStr">
        <is>
          <t>σA actif risqué</t>
        </is>
      </c>
      <c r="B6" s="19" t="n">
        <v>0.203</v>
      </c>
    </row>
    <row r="7">
      <c r="A7" s="9" t="inlineStr">
        <is>
          <t>Ratio de Sharpe = (E(rA)−rf)/σA</t>
        </is>
      </c>
      <c r="B7" s="16">
        <f>(B5-B4)/B6</f>
        <v/>
      </c>
    </row>
    <row r="9">
      <c r="A9" s="4" t="inlineStr">
        <is>
          <t>1/ E(rp) = rf + X·(E(rA)−rf)   et   σp = X·σA</t>
        </is>
      </c>
      <c r="B9" s="20" t="n"/>
      <c r="C9" s="20" t="n"/>
      <c r="D9" s="20" t="n"/>
      <c r="E9" s="20" t="n"/>
      <c r="F9" s="21" t="n"/>
    </row>
    <row r="10">
      <c r="A10" s="11" t="inlineStr">
        <is>
          <t>Portefeuille</t>
        </is>
      </c>
      <c r="B10" s="11" t="inlineStr">
        <is>
          <t>X (actif risqué)</t>
        </is>
      </c>
      <c r="C10" s="11" t="inlineStr">
        <is>
          <t>1−X (sans risque)</t>
        </is>
      </c>
      <c r="D10" s="11" t="inlineStr">
        <is>
          <t>Montant risqué (€)</t>
        </is>
      </c>
      <c r="E10" s="11" t="inlineStr">
        <is>
          <t>E(rp)</t>
        </is>
      </c>
      <c r="F10" s="11" t="inlineStr">
        <is>
          <t>σp</t>
        </is>
      </c>
    </row>
    <row r="11">
      <c r="A11" s="22" t="inlineStr">
        <is>
          <t>F</t>
        </is>
      </c>
      <c r="B11" s="23" t="n">
        <v>0</v>
      </c>
      <c r="C11" s="24">
        <f>1-B11</f>
        <v/>
      </c>
      <c r="D11" s="25">
        <f>$B$3*B11</f>
        <v/>
      </c>
      <c r="E11" s="26">
        <f>$B$4+B11*($B$5-$B$4)</f>
        <v/>
      </c>
      <c r="F11" s="27">
        <f>B11*$B$6</f>
        <v/>
      </c>
    </row>
    <row r="12">
      <c r="A12" s="22" t="inlineStr">
        <is>
          <t>G</t>
        </is>
      </c>
      <c r="B12" s="23" t="n">
        <v>0.25</v>
      </c>
      <c r="C12" s="24">
        <f>1-B12</f>
        <v/>
      </c>
      <c r="D12" s="25">
        <f>$B$3*B12</f>
        <v/>
      </c>
      <c r="E12" s="26">
        <f>$B$4+B12*($B$5-$B$4)</f>
        <v/>
      </c>
      <c r="F12" s="27">
        <f>B12*$B$6</f>
        <v/>
      </c>
    </row>
    <row r="13">
      <c r="A13" s="22" t="inlineStr">
        <is>
          <t>H</t>
        </is>
      </c>
      <c r="B13" s="23" t="n">
        <v>0.5</v>
      </c>
      <c r="C13" s="24">
        <f>1-B13</f>
        <v/>
      </c>
      <c r="D13" s="25">
        <f>$B$3*B13</f>
        <v/>
      </c>
      <c r="E13" s="26">
        <f>$B$4+B13*($B$5-$B$4)</f>
        <v/>
      </c>
      <c r="F13" s="27">
        <f>B13*$B$6</f>
        <v/>
      </c>
    </row>
    <row r="14">
      <c r="A14" s="22" t="inlineStr">
        <is>
          <t>I</t>
        </is>
      </c>
      <c r="B14" s="23" t="n">
        <v>0.75</v>
      </c>
      <c r="C14" s="24">
        <f>1-B14</f>
        <v/>
      </c>
      <c r="D14" s="25">
        <f>$B$3*B14</f>
        <v/>
      </c>
      <c r="E14" s="26">
        <f>$B$4+B14*($B$5-$B$4)</f>
        <v/>
      </c>
      <c r="F14" s="27">
        <f>B14*$B$6</f>
        <v/>
      </c>
    </row>
    <row r="15">
      <c r="A15" s="22" t="inlineStr">
        <is>
          <t>S</t>
        </is>
      </c>
      <c r="B15" s="23" t="n">
        <v>1</v>
      </c>
      <c r="C15" s="24">
        <f>1-B15</f>
        <v/>
      </c>
      <c r="D15" s="25">
        <f>$B$3*B15</f>
        <v/>
      </c>
      <c r="E15" s="26">
        <f>$B$4+B15*($B$5-$B$4)</f>
        <v/>
      </c>
      <c r="F15" s="27">
        <f>B15*$B$6</f>
        <v/>
      </c>
    </row>
    <row r="17">
      <c r="A17" s="4" t="inlineStr">
        <is>
          <t>3/ Portefeuille J : E(rJ) = 9 %</t>
        </is>
      </c>
      <c r="B17" s="20" t="n"/>
      <c r="C17" s="20" t="n"/>
      <c r="D17" s="20" t="n"/>
      <c r="E17" s="20" t="n"/>
      <c r="F17" s="21" t="n"/>
    </row>
    <row r="18">
      <c r="A18" s="6" t="inlineStr">
        <is>
          <t>Rentabilité cible E(rJ)</t>
        </is>
      </c>
      <c r="B18" s="8" t="n">
        <v>0.09</v>
      </c>
    </row>
    <row r="19">
      <c r="A19" s="9" t="inlineStr">
        <is>
          <t>XJ = (E(rJ)−rf)/(E(rA)−rf)</t>
        </is>
      </c>
      <c r="B19" s="28">
        <f>(B18-B4)/(B5-B4)</f>
        <v/>
      </c>
    </row>
    <row r="20">
      <c r="A20" s="9" t="inlineStr">
        <is>
          <t>Montant investi en actif risqué (€)</t>
        </is>
      </c>
      <c r="B20" s="29">
        <f>B3*B19</f>
        <v/>
      </c>
    </row>
    <row r="21">
      <c r="A21" s="9" t="inlineStr">
        <is>
          <t>Risque σJ = XJ·σA</t>
        </is>
      </c>
      <c r="B21" s="16">
        <f>B19*B6</f>
        <v/>
      </c>
    </row>
    <row r="22">
      <c r="A22" s="2" t="inlineStr">
        <is>
          <t>37 500 € en actif risqué, 62 500 € en actif sans risque ; σJ ≈ 7,61 %.</t>
        </is>
      </c>
    </row>
  </sheetData>
  <mergeCells count="4">
    <mergeCell ref="A17:F17"/>
    <mergeCell ref="A22:F22"/>
    <mergeCell ref="A1:F1"/>
    <mergeCell ref="A9:F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EXERCICE 3 — Deux actifs risqués non corrélés</t>
        </is>
      </c>
      <c r="B1" s="3" t="n"/>
      <c r="C1" s="3" t="n"/>
      <c r="D1" s="3" t="n"/>
      <c r="E1" s="3" t="n"/>
    </row>
    <row r="3">
      <c r="A3" s="11" t="inlineStr"/>
      <c r="B3" s="11" t="inlineStr">
        <is>
          <t>Actif risqué 1</t>
        </is>
      </c>
      <c r="C3" s="11" t="inlineStr">
        <is>
          <t>Actif risqué 2</t>
        </is>
      </c>
    </row>
    <row r="4">
      <c r="A4" s="22" t="inlineStr">
        <is>
          <t>Moyenne</t>
        </is>
      </c>
      <c r="B4" s="12" t="n">
        <v>0.14</v>
      </c>
      <c r="C4" s="12" t="n">
        <v>0.08</v>
      </c>
    </row>
    <row r="5">
      <c r="A5" s="22" t="inlineStr">
        <is>
          <t>Écart type</t>
        </is>
      </c>
      <c r="B5" s="12" t="n">
        <v>0.2</v>
      </c>
      <c r="C5" s="12" t="n">
        <v>0.15</v>
      </c>
    </row>
    <row r="6">
      <c r="A6" s="22" t="inlineStr">
        <is>
          <t>Corrélation ρ12</t>
        </is>
      </c>
      <c r="B6" s="7" t="n">
        <v>0</v>
      </c>
    </row>
    <row r="8">
      <c r="A8" s="4" t="inlineStr">
        <is>
          <t>E(rp) = X1·μ1 + X2·μ2 ;  σp = √(X1²σ1² + X2²σ2²)  (ρ = 0)</t>
        </is>
      </c>
      <c r="B8" s="20" t="n"/>
      <c r="C8" s="20" t="n"/>
      <c r="D8" s="20" t="n"/>
      <c r="E8" s="21" t="n"/>
    </row>
    <row r="9">
      <c r="A9" s="11" t="inlineStr">
        <is>
          <t>Portefeuille</t>
        </is>
      </c>
      <c r="B9" s="11" t="inlineStr">
        <is>
          <t>X1 (actif 1)</t>
        </is>
      </c>
      <c r="C9" s="11" t="inlineStr">
        <is>
          <t>X2 (actif 2)</t>
        </is>
      </c>
      <c r="D9" s="11" t="inlineStr">
        <is>
          <t>E(rp)</t>
        </is>
      </c>
      <c r="E9" s="11" t="inlineStr">
        <is>
          <t>σp</t>
        </is>
      </c>
    </row>
    <row r="10">
      <c r="A10" s="22" t="inlineStr">
        <is>
          <t>R</t>
        </is>
      </c>
      <c r="B10" s="23" t="n">
        <v>0</v>
      </c>
      <c r="C10" s="24">
        <f>1-B10</f>
        <v/>
      </c>
      <c r="D10" s="26">
        <f>B10*$B$4+C10*$C$4</f>
        <v/>
      </c>
      <c r="E10" s="27">
        <f>SQRT(B10^2*$B$5^2+C10^2*$C$5^2)</f>
        <v/>
      </c>
    </row>
    <row r="11">
      <c r="A11" s="22" t="inlineStr">
        <is>
          <t>C</t>
        </is>
      </c>
      <c r="B11" s="23" t="n">
        <v>0.25</v>
      </c>
      <c r="C11" s="24">
        <f>1-B11</f>
        <v/>
      </c>
      <c r="D11" s="26">
        <f>B11*$B$4+C11*$C$4</f>
        <v/>
      </c>
      <c r="E11" s="27">
        <f>SQRT(B11^2*$B$5^2+C11^2*$C$5^2)</f>
        <v/>
      </c>
    </row>
    <row r="12">
      <c r="A12" s="22" t="inlineStr">
        <is>
          <t>Risque minimum</t>
        </is>
      </c>
      <c r="B12" s="23" t="n">
        <v>0.36</v>
      </c>
      <c r="C12" s="24">
        <f>1-B12</f>
        <v/>
      </c>
      <c r="D12" s="26">
        <f>B12*$B$4+C12*$C$4</f>
        <v/>
      </c>
      <c r="E12" s="27">
        <f>SQRT(B12^2*$B$5^2+C12^2*$C$5^2)</f>
        <v/>
      </c>
    </row>
    <row r="13">
      <c r="A13" s="22" t="inlineStr">
        <is>
          <t>D</t>
        </is>
      </c>
      <c r="B13" s="23" t="n">
        <v>0.5</v>
      </c>
      <c r="C13" s="24">
        <f>1-B13</f>
        <v/>
      </c>
      <c r="D13" s="26">
        <f>B13*$B$4+C13*$C$4</f>
        <v/>
      </c>
      <c r="E13" s="27">
        <f>SQRT(B13^2*$B$5^2+C13^2*$C$5^2)</f>
        <v/>
      </c>
    </row>
    <row r="14">
      <c r="A14" s="22" t="inlineStr">
        <is>
          <t>S</t>
        </is>
      </c>
      <c r="B14" s="23" t="n">
        <v>1</v>
      </c>
      <c r="C14" s="24">
        <f>1-B14</f>
        <v/>
      </c>
      <c r="D14" s="26">
        <f>B14*$B$4+C14*$C$4</f>
        <v/>
      </c>
      <c r="E14" s="27">
        <f>SQRT(B14^2*$B$5^2+C14^2*$C$5^2)</f>
        <v/>
      </c>
    </row>
    <row r="16">
      <c r="A16" s="9" t="inlineStr">
        <is>
          <t>X1* de variance minimale = σ2²/(σ1²+σ2²)</t>
        </is>
      </c>
      <c r="B16" s="30">
        <f>C5^2/(B5^2+C5^2)</f>
        <v/>
      </c>
    </row>
    <row r="17">
      <c r="A17" s="2" t="inlineStr">
        <is>
          <t>Interprétation : avec ρ = 0, la diversification réduit le risque : le portefeuille de variance minimale (36 %/64 %) a σ = 12 %, inférieur au risque de chacun des deux actifs (20 % et 15 %). R est dominé ; la frontière efficiente va du portefeuille de variance minimale à S.</t>
        </is>
      </c>
    </row>
    <row r="18"/>
    <row r="19"/>
    <row r="21">
      <c r="A21" s="4" t="inlineStr">
        <is>
          <t>Frontière (grille X1 de 0 à 100 %)</t>
        </is>
      </c>
    </row>
    <row r="22">
      <c r="A22" s="11" t="inlineStr">
        <is>
          <t>X1</t>
        </is>
      </c>
      <c r="B22" s="11" t="inlineStr">
        <is>
          <t>E(rp)</t>
        </is>
      </c>
      <c r="C22" s="11" t="inlineStr">
        <is>
          <t>σp</t>
        </is>
      </c>
    </row>
    <row r="23">
      <c r="A23" s="24" t="n">
        <v>0</v>
      </c>
      <c r="B23" s="26">
        <f>A23*$B$4+(1-A23)*$C$4</f>
        <v/>
      </c>
      <c r="C23" s="27">
        <f>SQRT(A23^2*$B$5^2+(1-A23)^2*$C$5^2)</f>
        <v/>
      </c>
    </row>
    <row r="24">
      <c r="A24" s="24" t="n">
        <v>0.05</v>
      </c>
      <c r="B24" s="26">
        <f>A24*$B$4+(1-A24)*$C$4</f>
        <v/>
      </c>
      <c r="C24" s="27">
        <f>SQRT(A24^2*$B$5^2+(1-A24)^2*$C$5^2)</f>
        <v/>
      </c>
    </row>
    <row r="25">
      <c r="A25" s="24" t="n">
        <v>0.1</v>
      </c>
      <c r="B25" s="26">
        <f>A25*$B$4+(1-A25)*$C$4</f>
        <v/>
      </c>
      <c r="C25" s="27">
        <f>SQRT(A25^2*$B$5^2+(1-A25)^2*$C$5^2)</f>
        <v/>
      </c>
    </row>
    <row r="26">
      <c r="A26" s="24" t="n">
        <v>0.15</v>
      </c>
      <c r="B26" s="26">
        <f>A26*$B$4+(1-A26)*$C$4</f>
        <v/>
      </c>
      <c r="C26" s="27">
        <f>SQRT(A26^2*$B$5^2+(1-A26)^2*$C$5^2)</f>
        <v/>
      </c>
    </row>
    <row r="27">
      <c r="A27" s="24" t="n">
        <v>0.2</v>
      </c>
      <c r="B27" s="26">
        <f>A27*$B$4+(1-A27)*$C$4</f>
        <v/>
      </c>
      <c r="C27" s="27">
        <f>SQRT(A27^2*$B$5^2+(1-A27)^2*$C$5^2)</f>
        <v/>
      </c>
    </row>
    <row r="28">
      <c r="A28" s="24" t="n">
        <v>0.25</v>
      </c>
      <c r="B28" s="26">
        <f>A28*$B$4+(1-A28)*$C$4</f>
        <v/>
      </c>
      <c r="C28" s="27">
        <f>SQRT(A28^2*$B$5^2+(1-A28)^2*$C$5^2)</f>
        <v/>
      </c>
    </row>
    <row r="29">
      <c r="A29" s="24" t="n">
        <v>0.3</v>
      </c>
      <c r="B29" s="26">
        <f>A29*$B$4+(1-A29)*$C$4</f>
        <v/>
      </c>
      <c r="C29" s="27">
        <f>SQRT(A29^2*$B$5^2+(1-A29)^2*$C$5^2)</f>
        <v/>
      </c>
    </row>
    <row r="30">
      <c r="A30" s="24" t="n">
        <v>0.35</v>
      </c>
      <c r="B30" s="26">
        <f>A30*$B$4+(1-A30)*$C$4</f>
        <v/>
      </c>
      <c r="C30" s="27">
        <f>SQRT(A30^2*$B$5^2+(1-A30)^2*$C$5^2)</f>
        <v/>
      </c>
    </row>
    <row r="31">
      <c r="A31" s="24" t="n">
        <v>0.4</v>
      </c>
      <c r="B31" s="26">
        <f>A31*$B$4+(1-A31)*$C$4</f>
        <v/>
      </c>
      <c r="C31" s="27">
        <f>SQRT(A31^2*$B$5^2+(1-A31)^2*$C$5^2)</f>
        <v/>
      </c>
    </row>
    <row r="32">
      <c r="A32" s="24" t="n">
        <v>0.45</v>
      </c>
      <c r="B32" s="26">
        <f>A32*$B$4+(1-A32)*$C$4</f>
        <v/>
      </c>
      <c r="C32" s="27">
        <f>SQRT(A32^2*$B$5^2+(1-A32)^2*$C$5^2)</f>
        <v/>
      </c>
    </row>
    <row r="33">
      <c r="A33" s="24" t="n">
        <v>0.5</v>
      </c>
      <c r="B33" s="26">
        <f>A33*$B$4+(1-A33)*$C$4</f>
        <v/>
      </c>
      <c r="C33" s="27">
        <f>SQRT(A33^2*$B$5^2+(1-A33)^2*$C$5^2)</f>
        <v/>
      </c>
    </row>
    <row r="34">
      <c r="A34" s="24" t="n">
        <v>0.55</v>
      </c>
      <c r="B34" s="26">
        <f>A34*$B$4+(1-A34)*$C$4</f>
        <v/>
      </c>
      <c r="C34" s="27">
        <f>SQRT(A34^2*$B$5^2+(1-A34)^2*$C$5^2)</f>
        <v/>
      </c>
    </row>
    <row r="35">
      <c r="A35" s="24" t="n">
        <v>0.6</v>
      </c>
      <c r="B35" s="26">
        <f>A35*$B$4+(1-A35)*$C$4</f>
        <v/>
      </c>
      <c r="C35" s="27">
        <f>SQRT(A35^2*$B$5^2+(1-A35)^2*$C$5^2)</f>
        <v/>
      </c>
    </row>
    <row r="36">
      <c r="A36" s="24" t="n">
        <v>0.65</v>
      </c>
      <c r="B36" s="26">
        <f>A36*$B$4+(1-A36)*$C$4</f>
        <v/>
      </c>
      <c r="C36" s="27">
        <f>SQRT(A36^2*$B$5^2+(1-A36)^2*$C$5^2)</f>
        <v/>
      </c>
    </row>
    <row r="37">
      <c r="A37" s="24" t="n">
        <v>0.7</v>
      </c>
      <c r="B37" s="26">
        <f>A37*$B$4+(1-A37)*$C$4</f>
        <v/>
      </c>
      <c r="C37" s="27">
        <f>SQRT(A37^2*$B$5^2+(1-A37)^2*$C$5^2)</f>
        <v/>
      </c>
    </row>
    <row r="38">
      <c r="A38" s="24" t="n">
        <v>0.75</v>
      </c>
      <c r="B38" s="26">
        <f>A38*$B$4+(1-A38)*$C$4</f>
        <v/>
      </c>
      <c r="C38" s="27">
        <f>SQRT(A38^2*$B$5^2+(1-A38)^2*$C$5^2)</f>
        <v/>
      </c>
    </row>
    <row r="39">
      <c r="A39" s="24" t="n">
        <v>0.8</v>
      </c>
      <c r="B39" s="26">
        <f>A39*$B$4+(1-A39)*$C$4</f>
        <v/>
      </c>
      <c r="C39" s="27">
        <f>SQRT(A39^2*$B$5^2+(1-A39)^2*$C$5^2)</f>
        <v/>
      </c>
    </row>
    <row r="40">
      <c r="A40" s="24" t="n">
        <v>0.85</v>
      </c>
      <c r="B40" s="26">
        <f>A40*$B$4+(1-A40)*$C$4</f>
        <v/>
      </c>
      <c r="C40" s="27">
        <f>SQRT(A40^2*$B$5^2+(1-A40)^2*$C$5^2)</f>
        <v/>
      </c>
    </row>
    <row r="41">
      <c r="A41" s="24" t="n">
        <v>0.9</v>
      </c>
      <c r="B41" s="26">
        <f>A41*$B$4+(1-A41)*$C$4</f>
        <v/>
      </c>
      <c r="C41" s="27">
        <f>SQRT(A41^2*$B$5^2+(1-A41)^2*$C$5^2)</f>
        <v/>
      </c>
    </row>
    <row r="42">
      <c r="A42" s="24" t="n">
        <v>0.95</v>
      </c>
      <c r="B42" s="26">
        <f>A42*$B$4+(1-A42)*$C$4</f>
        <v/>
      </c>
      <c r="C42" s="27">
        <f>SQRT(A42^2*$B$5^2+(1-A42)^2*$C$5^2)</f>
        <v/>
      </c>
    </row>
    <row r="43">
      <c r="A43" s="24" t="n">
        <v>1</v>
      </c>
      <c r="B43" s="26">
        <f>A43*$B$4+(1-A43)*$C$4</f>
        <v/>
      </c>
      <c r="C43" s="27">
        <f>SQRT(A43^2*$B$5^2+(1-A43)^2*$C$5^2)</f>
        <v/>
      </c>
    </row>
  </sheetData>
  <mergeCells count="3">
    <mergeCell ref="A17:E19"/>
    <mergeCell ref="A1:E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EXERCICE 4 — Obligation 1 000 €, 15 ans, coupon 10 %</t>
        </is>
      </c>
      <c r="B1" s="3" t="n"/>
      <c r="C1" s="3" t="n"/>
      <c r="D1" s="3" t="n"/>
    </row>
    <row r="3">
      <c r="A3" s="6" t="inlineStr">
        <is>
          <t>Valeur nominale VN (€)</t>
        </is>
      </c>
      <c r="B3" s="18" t="n">
        <v>1000</v>
      </c>
    </row>
    <row r="4">
      <c r="A4" s="6" t="inlineStr">
        <is>
          <t>Échéance N (années)</t>
        </is>
      </c>
      <c r="B4" s="7" t="n">
        <v>15</v>
      </c>
    </row>
    <row r="5">
      <c r="A5" s="6" t="inlineStr">
        <is>
          <t>Taux de coupon</t>
        </is>
      </c>
      <c r="B5" s="31" t="n">
        <v>0.1</v>
      </c>
    </row>
    <row r="6">
      <c r="A6" s="6" t="inlineStr">
        <is>
          <t>Coupon annuel C (€)</t>
        </is>
      </c>
      <c r="B6" s="25">
        <f>B3*B5</f>
        <v/>
      </c>
    </row>
    <row r="8">
      <c r="A8" s="4" t="inlineStr">
        <is>
          <t>1- Prix pour un TRE de 8,5 % :  P = C/r·[1−(1+r)^−N] + VN·(1+r)^−N</t>
        </is>
      </c>
      <c r="B8" s="20" t="n"/>
      <c r="C8" s="20" t="n"/>
      <c r="D8" s="21" t="n"/>
    </row>
    <row r="9">
      <c r="A9" s="6" t="inlineStr">
        <is>
          <t>Taux de rendement exigé r</t>
        </is>
      </c>
      <c r="B9" s="31" t="n">
        <v>0.08500000000000001</v>
      </c>
    </row>
    <row r="10">
      <c r="A10" s="9" t="inlineStr">
        <is>
          <t>Prix P (€)</t>
        </is>
      </c>
      <c r="B10" s="32">
        <f>B6/B9*(1-(1+B9)^-B4)+B3*(1+B9)^-B4</f>
        <v/>
      </c>
    </row>
    <row r="12">
      <c r="A12" s="4" t="inlineStr">
        <is>
          <t>2- TRE si le prix de marché est 1 080,61 €</t>
        </is>
      </c>
      <c r="B12" s="20" t="n"/>
      <c r="C12" s="20" t="n"/>
      <c r="D12" s="21" t="n"/>
    </row>
    <row r="13">
      <c r="A13" s="6" t="inlineStr">
        <is>
          <t>Prix de marché (€)</t>
        </is>
      </c>
      <c r="B13" s="33" t="n">
        <v>1080.61</v>
      </c>
    </row>
    <row r="14">
      <c r="A14" s="9" t="inlineStr">
        <is>
          <t>TRE (fonction TAUX / RATE)</t>
        </is>
      </c>
      <c r="B14" s="10">
        <f>RATE(B4,B6,-B13,B3)</f>
        <v/>
      </c>
    </row>
    <row r="16">
      <c r="A16" s="4" t="inlineStr">
        <is>
          <t>3- Passage du taux de 8,5 % à 9,5 % : incidence sur le prix</t>
        </is>
      </c>
      <c r="B16" s="20" t="n"/>
      <c r="C16" s="20" t="n"/>
      <c r="D16" s="21" t="n"/>
    </row>
    <row r="17">
      <c r="A17" s="6" t="inlineStr">
        <is>
          <t>Nouveau taux r'</t>
        </is>
      </c>
      <c r="B17" s="31" t="n">
        <v>0.095</v>
      </c>
    </row>
    <row r="18">
      <c r="A18" s="9" t="inlineStr">
        <is>
          <t>Nouveau prix P' (€)</t>
        </is>
      </c>
      <c r="B18" s="32">
        <f>B6/B17*(1-(1+B17)^-B4)+B3*(1+B17)^-B4</f>
        <v/>
      </c>
    </row>
    <row r="19">
      <c r="A19" s="9" t="inlineStr">
        <is>
          <t>Variation ΔP (€)</t>
        </is>
      </c>
      <c r="B19" s="32">
        <f>B18-B10</f>
        <v/>
      </c>
    </row>
    <row r="20">
      <c r="A20" s="9" t="inlineStr">
        <is>
          <t>Variation relative ΔP/P (pour +1 % de taux)</t>
        </is>
      </c>
      <c r="B20" s="10">
        <f>B19/B10</f>
        <v/>
      </c>
    </row>
  </sheetData>
  <mergeCells count="4">
    <mergeCell ref="A1:D1"/>
    <mergeCell ref="A12:D12"/>
    <mergeCell ref="A8:D8"/>
    <mergeCell ref="A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5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EXERCICE 5 — Cox-Ross-Rubinstein à 3 périodes</t>
        </is>
      </c>
      <c r="B1" s="3" t="n"/>
      <c r="C1" s="3" t="n"/>
      <c r="D1" s="3" t="n"/>
      <c r="E1" s="3" t="n"/>
      <c r="F1" s="3" t="n"/>
      <c r="G1" s="3" t="n"/>
      <c r="H1" s="3" t="n"/>
    </row>
    <row r="3">
      <c r="A3" s="11" t="inlineStr">
        <is>
          <t>Paramètres (saisie)</t>
        </is>
      </c>
      <c r="B3" s="11" t="inlineStr"/>
      <c r="D3" s="11" t="inlineStr">
        <is>
          <t>Calculs</t>
        </is>
      </c>
      <c r="E3" s="11" t="inlineStr"/>
    </row>
    <row r="4">
      <c r="A4" s="4" t="inlineStr">
        <is>
          <t>Call=c / Put=p</t>
        </is>
      </c>
      <c r="B4" s="7" t="inlineStr">
        <is>
          <t>c</t>
        </is>
      </c>
      <c r="D4" s="4" t="inlineStr">
        <is>
          <t>Δt = T/n</t>
        </is>
      </c>
      <c r="E4" s="34">
        <f>B7/B12</f>
        <v/>
      </c>
    </row>
    <row r="5">
      <c r="A5" s="4" t="inlineStr">
        <is>
          <t>Américain=a / Européen=e</t>
        </is>
      </c>
      <c r="B5" s="7" t="inlineStr">
        <is>
          <t>e</t>
        </is>
      </c>
      <c r="D5" s="4" t="inlineStr">
        <is>
          <t>Coef. Up  u = e^(σ√Δt)</t>
        </is>
      </c>
      <c r="E5" s="34">
        <f>EXP(B9*SQRT(E4))</f>
        <v/>
      </c>
    </row>
    <row r="6">
      <c r="A6" s="4" t="inlineStr">
        <is>
          <t>Strike</t>
        </is>
      </c>
      <c r="B6" s="7" t="n">
        <v>98</v>
      </c>
      <c r="D6" s="4" t="inlineStr">
        <is>
          <t>Coef. Dw  d = 1/u</t>
        </is>
      </c>
      <c r="E6" s="34">
        <f>1/E5</f>
        <v/>
      </c>
    </row>
    <row r="7">
      <c r="A7" s="4" t="inlineStr">
        <is>
          <t>Durée</t>
        </is>
      </c>
      <c r="B7" s="7" t="n">
        <v>0.25</v>
      </c>
      <c r="D7" s="4" t="inlineStr">
        <is>
          <t>Proba.  p = (e^((r−q)Δt)−d)/(u−d)</t>
        </is>
      </c>
      <c r="E7" s="34">
        <f>(EXP((B10-B11)*E4)-E6)/(E5-E6)</f>
        <v/>
      </c>
    </row>
    <row r="8">
      <c r="A8" s="4" t="inlineStr">
        <is>
          <t>Spot</t>
        </is>
      </c>
      <c r="B8" s="7" t="n">
        <v>100</v>
      </c>
      <c r="D8" s="4" t="inlineStr">
        <is>
          <t>1 − p</t>
        </is>
      </c>
      <c r="E8" s="34">
        <f>1-E7</f>
        <v/>
      </c>
    </row>
    <row r="9">
      <c r="A9" s="4" t="inlineStr">
        <is>
          <t>Volatilité</t>
        </is>
      </c>
      <c r="B9" s="8" t="n">
        <v>0.2</v>
      </c>
      <c r="D9" s="4" t="inlineStr">
        <is>
          <t>Actualisation e^(−rΔt)</t>
        </is>
      </c>
      <c r="E9" s="34">
        <f>EXP(-B10*E4)</f>
        <v/>
      </c>
    </row>
    <row r="10">
      <c r="A10" s="4" t="inlineStr">
        <is>
          <t>Taux continu sans risque</t>
        </is>
      </c>
      <c r="B10" s="8" t="n">
        <v>0.05</v>
      </c>
    </row>
    <row r="11">
      <c r="A11" s="4" t="inlineStr">
        <is>
          <t>Taux continu de revenu</t>
        </is>
      </c>
      <c r="B11" s="8" t="n">
        <v>0.06</v>
      </c>
    </row>
    <row r="12">
      <c r="A12" s="4" t="inlineStr">
        <is>
          <t>n</t>
        </is>
      </c>
      <c r="B12" s="7" t="n">
        <v>3</v>
      </c>
    </row>
    <row r="14">
      <c r="A14" s="4" t="inlineStr">
        <is>
          <t>2) Arbre du prix du sous-jacent  S(i,j) = S0 · u^j · d^(i−j)</t>
        </is>
      </c>
      <c r="B14" s="20" t="n"/>
      <c r="C14" s="20" t="n"/>
      <c r="D14" s="20" t="n"/>
      <c r="E14" s="20" t="n"/>
      <c r="F14" s="20" t="n"/>
      <c r="G14" s="20" t="n"/>
      <c r="H14" s="21" t="n"/>
    </row>
    <row r="15">
      <c r="A15" s="11" t="inlineStr">
        <is>
          <t>Nombre de hausses j \ période i</t>
        </is>
      </c>
      <c r="B15" s="11" t="inlineStr">
        <is>
          <t>i = 0</t>
        </is>
      </c>
      <c r="C15" s="11" t="inlineStr">
        <is>
          <t>i = 1</t>
        </is>
      </c>
      <c r="D15" s="11" t="inlineStr">
        <is>
          <t>i = 2</t>
        </is>
      </c>
      <c r="E15" s="11" t="inlineStr">
        <is>
          <t>i = 3</t>
        </is>
      </c>
    </row>
    <row r="16">
      <c r="A16" s="22" t="inlineStr">
        <is>
          <t>j = 3</t>
        </is>
      </c>
      <c r="B16" s="6" t="inlineStr"/>
      <c r="C16" s="6" t="inlineStr"/>
      <c r="D16" s="6" t="inlineStr"/>
      <c r="E16" s="35">
        <f>$B$8*$E$5^3*$E$6^(3-3)</f>
        <v/>
      </c>
    </row>
    <row r="17">
      <c r="A17" s="22" t="inlineStr">
        <is>
          <t>j = 2</t>
        </is>
      </c>
      <c r="B17" s="6" t="inlineStr"/>
      <c r="C17" s="6" t="inlineStr"/>
      <c r="D17" s="35">
        <f>$B$8*$E$5^2*$E$6^(2-2)</f>
        <v/>
      </c>
      <c r="E17" s="35">
        <f>$B$8*$E$5^2*$E$6^(3-2)</f>
        <v/>
      </c>
    </row>
    <row r="18">
      <c r="A18" s="22" t="inlineStr">
        <is>
          <t>j = 1</t>
        </is>
      </c>
      <c r="B18" s="6" t="inlineStr"/>
      <c r="C18" s="35">
        <f>$B$8*$E$5^1*$E$6^(1-1)</f>
        <v/>
      </c>
      <c r="D18" s="35">
        <f>$B$8*$E$5^1*$E$6^(2-1)</f>
        <v/>
      </c>
      <c r="E18" s="35">
        <f>$B$8*$E$5^1*$E$6^(3-1)</f>
        <v/>
      </c>
    </row>
    <row r="19">
      <c r="A19" s="22" t="inlineStr">
        <is>
          <t>j = 0</t>
        </is>
      </c>
      <c r="B19" s="35">
        <f>$B$8*$E$5^0*$E$6^(0-0)</f>
        <v/>
      </c>
      <c r="C19" s="35">
        <f>$B$8*$E$5^0*$E$6^(1-0)</f>
        <v/>
      </c>
      <c r="D19" s="35">
        <f>$B$8*$E$5^0*$E$6^(2-0)</f>
        <v/>
      </c>
      <c r="E19" s="35">
        <f>$B$8*$E$5^0*$E$6^(3-0)</f>
        <v/>
      </c>
    </row>
    <row r="21">
      <c r="A21" s="4" t="inlineStr">
        <is>
          <t>Call Standard Européen — arbre des valeurs C(i,j)</t>
        </is>
      </c>
      <c r="B21" s="20" t="n"/>
      <c r="C21" s="20" t="n"/>
      <c r="D21" s="20" t="n"/>
      <c r="E21" s="20" t="n"/>
      <c r="F21" s="20" t="n"/>
      <c r="G21" s="20" t="n"/>
      <c r="H21" s="21" t="n"/>
    </row>
    <row r="22">
      <c r="A22" s="11" t="inlineStr">
        <is>
          <t>j \ i</t>
        </is>
      </c>
      <c r="B22" s="11" t="inlineStr">
        <is>
          <t>i = 0</t>
        </is>
      </c>
      <c r="C22" s="11" t="inlineStr">
        <is>
          <t>i = 1</t>
        </is>
      </c>
      <c r="D22" s="11" t="inlineStr">
        <is>
          <t>i = 2</t>
        </is>
      </c>
      <c r="E22" s="11" t="inlineStr">
        <is>
          <t>i = 3</t>
        </is>
      </c>
    </row>
    <row r="23">
      <c r="A23" s="22" t="inlineStr">
        <is>
          <t>j = 3</t>
        </is>
      </c>
      <c r="B23" s="6" t="inlineStr"/>
      <c r="C23" s="6" t="inlineStr"/>
      <c r="D23" s="6" t="inlineStr"/>
      <c r="E23" s="35">
        <f>MAX(E16-$B$6,0)</f>
        <v/>
      </c>
    </row>
    <row r="24">
      <c r="A24" s="22" t="inlineStr">
        <is>
          <t>j = 2</t>
        </is>
      </c>
      <c r="B24" s="6" t="inlineStr"/>
      <c r="C24" s="6" t="inlineStr"/>
      <c r="D24" s="27">
        <f>$E$9*($E$7*E23+$E$8*E24)</f>
        <v/>
      </c>
      <c r="E24" s="35">
        <f>MAX(E17-$B$6,0)</f>
        <v/>
      </c>
    </row>
    <row r="25">
      <c r="A25" s="22" t="inlineStr">
        <is>
          <t>j = 1</t>
        </is>
      </c>
      <c r="B25" s="6" t="inlineStr"/>
      <c r="C25" s="27">
        <f>$E$9*($E$7*D24+$E$8*D25)</f>
        <v/>
      </c>
      <c r="D25" s="27">
        <f>$E$9*($E$7*E24+$E$8*E25)</f>
        <v/>
      </c>
      <c r="E25" s="35">
        <f>MAX(E18-$B$6,0)</f>
        <v/>
      </c>
    </row>
    <row r="26">
      <c r="A26" s="22" t="inlineStr">
        <is>
          <t>j = 0</t>
        </is>
      </c>
      <c r="B26" s="27">
        <f>$E$9*($E$7*C25+$E$8*C26)</f>
        <v/>
      </c>
      <c r="C26" s="27">
        <f>$E$9*($E$7*D25+$E$8*D26)</f>
        <v/>
      </c>
      <c r="D26" s="27">
        <f>$E$9*($E$7*E25+$E$8*E26)</f>
        <v/>
      </c>
      <c r="E26" s="35">
        <f>MAX(E19-$B$6,0)</f>
        <v/>
      </c>
    </row>
    <row r="28">
      <c r="A28" s="9" t="inlineStr">
        <is>
          <t>Prix du call européen C0</t>
        </is>
      </c>
      <c r="B28" s="16">
        <f>B26</f>
        <v/>
      </c>
    </row>
    <row r="30">
      <c r="A30" s="2" t="inlineStr">
        <is>
          <t>1) u = e^(σ√Δt) = 1,0594 ; d = 1/u = 0,9439 ; p = (e^((r−q)Δt) − d)/(u − d) = 0,4784 ; 1−p = 0,5216. 2) À 3 périodes le sous-jacent vaut : S·u³ = 118,91 ; S·u²d = 105,94 ; S·ud² = 94,39 ; S·d³ = 84,10. Par actualisation récursive dans l'univers risque-neutre, le call européen vaut C0 ≈ 5,07 €.</t>
        </is>
      </c>
    </row>
    <row r="31"/>
    <row r="32"/>
  </sheetData>
  <mergeCells count="4">
    <mergeCell ref="A30:H32"/>
    <mergeCell ref="A21:H21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2026-07-05T19:12:24Z</dcterms:created>
  <dcterms:modified xsi:type="dcterms:W3CDTF">2026-07-05T19:12:24Z</dcterms:modified>
</cp:coreProperties>
</file>